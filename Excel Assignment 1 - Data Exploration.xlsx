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D1B1B64-9FEC-47A4-B6A0-1B462A21BF4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3" l="1" a="1"/>
  <c r="J2" i="3" s="1"/>
  <c r="I2" i="3" a="1"/>
  <c r="I2" i="3" s="1"/>
  <c r="H2" i="3" a="1"/>
  <c r="H2" i="3" s="1"/>
  <c r="O13" i="3"/>
  <c r="O12" i="3"/>
  <c r="G2" i="3" a="1"/>
  <c r="G2" i="3" s="1"/>
  <c r="O9" i="3"/>
  <c r="O8" i="3"/>
  <c r="N5" i="3"/>
  <c r="N4" i="3"/>
  <c r="N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<sst xmlns="http://schemas.openxmlformats.org/spreadsheetml/2006/main" count="315" uniqueCount="124">
  <si>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</si>
  <si>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</si>
  <si>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</si>
  <si>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</si>
  <si>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</si>
  <si>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</si>
  <si>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</si>
  <si>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</si>
  <si>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</si>
  <si>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</si>
  <si>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</si>
  <si>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</si>
  <si>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</si>
  <si>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</si>
  <si>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</si>
  <si>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</si>
  <si>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</si>
  <si>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</si>
  <si>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</si>
  <si>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</si>
  <si>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</si>
  <si>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</si>
  <si>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</si>
  <si>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</si>
  <si>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</si>
  <si>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</si>
  <si>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</si>
  <si>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</si>
  <si>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</si>
  <si>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</si>
  <si>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</si>
  <si>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</si>
  <si>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</si>
  <si>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</si>
  <si>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</si>
  <si>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</si>
  <si>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</si>
  <si>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</si>
  <si>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</si>
  <si>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</si>
  <si>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</si>
  <si>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</si>
  <si>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</si>
  <si>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</si>
  <si>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</si>
  <si>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</si>
  <si>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</si>
  <si>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</si>
  <si>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</si>
  <si>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</si>
  <si>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</si>
  <si>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</si>
  <si>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</si>
  <si>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</si>
  <si>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</si>
  <si>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</si>
  <si>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</si>
  <si>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</si>
  <si>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</si>
  <si>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</si>
  <si>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</si>
  <si>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</si>
  <si>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</si>
  <si>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</si>
  <si>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</si>
  <si>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</si>
  <si>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</si>
  <si>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</si>
  <si>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</si>
  <si>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</si>
  <si>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</si>
  <si>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</si>
  <si>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</si>
  <si>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</si>
  <si>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</si>
  <si>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</si>
  <si>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</si>
  <si>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</si>
  <si>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</si>
  <si>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</si>
  <si>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</si>
  <si>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</si>
  <si>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</si>
  <si>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</si>
  <si>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</si>
  <si>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</si>
  <si>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</si>
  <si>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</si>
  <si>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</si>
  <si>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</si>
  <si>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</si>
  <si>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</si>
  <si>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</si>
  <si>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</si>
  <si>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</si>
  <si>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</si>
  <si>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</si>
  <si>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</si>
  <si>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</si>
  <si>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</si>
  <si>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</si>
  <si>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</si>
  <si>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</si>
  <si>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</si>
  <si>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</si>
  <si>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</si>
  <si>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</si>
  <si>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</si>
  <si>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</si>
  <si>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</si>
  <si>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1)SUM,COUNT,AVERAGE</t>
  </si>
  <si>
    <t>Total price of all products   :</t>
  </si>
  <si>
    <t>Total number of products    :</t>
  </si>
  <si>
    <t>Average price of the products :</t>
  </si>
  <si>
    <t>2)MIN AND MAX</t>
  </si>
  <si>
    <t>Minimum price among all products   :</t>
  </si>
  <si>
    <t>Maximum price among all products   :</t>
  </si>
  <si>
    <t>categorize products</t>
  </si>
  <si>
    <t>4)SUMIF AND COUNTIF</t>
  </si>
  <si>
    <t>Total price for products in the 'Electronics'   :</t>
  </si>
  <si>
    <t>Count of products with a price lessthan $100 :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</si>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</sst>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5" borderId="0" xfId="0" applyFont="1" applyFill="1"/>
    <xf numFmtId="0" fontId="7" fillId="0" borderId="0" xfId="0" applyFont="1"/>
    <xf numFmtId="0" fontId="0" fillId="5" borderId="0" xfId="0" applyFill="1"/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7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XFD1048576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</cols>
  <sheetData>
    <row r="1" spans="1:7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75387-111F-443F-B63F-D0DF0B007098}">
  <dimension ref="A1:O1000"/>
  <sheetViews>
    <sheetView tabSelected="1" topLeftCell="E1" workbookViewId="0">
      <selection activeCell="J3" sqref="J3"/>
    </sheetView>
  </sheetViews>
  <sheetFormatPr defaultColWidth="12.6328125" defaultRowHeight="12.5" x14ac:dyDescent="0.25"/>
  <cols>
    <col min="2" max="2" width="14.08984375" customWidth="1"/>
    <col min="7" max="7" width="16" customWidth="1"/>
    <col min="12" max="12" width="13" customWidth="1"/>
  </cols>
  <sheetData>
    <row r="1" spans="1:15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4" t="s">
        <v>117</v>
      </c>
      <c r="H1" s="13" t="s">
        <v>121</v>
      </c>
      <c r="I1" s="13" t="s">
        <v>122</v>
      </c>
      <c r="J1" s="13" t="s">
        <v>123</v>
      </c>
      <c r="K1" s="6"/>
    </row>
    <row r="2" spans="1:15" ht="15.75" customHeight="1" x14ac:dyDescent="0.3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 cm="1">
        <f t="array" ref="G2:G35">IF(D2:D35&gt;=500,"High Price","Standard Price")</f>
        <v>High Price</v>
      </c>
      <c r="H2" s="7" t="str" cm="1">
        <f t="array" ref="H2:H35">LEFT(A2:A35,2)</f>
        <v>28</v>
      </c>
      <c r="I2" s="7" t="str" cm="1">
        <f t="array" ref="I2:I35">RIGHT(A2:A35,2)</f>
        <v>US</v>
      </c>
      <c r="J2" s="7" t="str" cm="1">
        <f t="array" ref="J2:J35">MID(A2:A35,4,3)</f>
        <v>JAN</v>
      </c>
      <c r="K2" s="7"/>
      <c r="L2" s="10" t="s">
        <v>110</v>
      </c>
      <c r="M2" s="10"/>
    </row>
    <row r="3" spans="1:15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tr">
        <v>Standard Price</v>
      </c>
      <c r="H3" s="8" t="str">
        <v>15</v>
      </c>
      <c r="I3" s="8" t="str">
        <v>US</v>
      </c>
      <c r="J3" s="8" t="str">
        <v>FEB</v>
      </c>
      <c r="K3" s="7"/>
      <c r="L3" s="11" t="s">
        <v>111</v>
      </c>
      <c r="N3">
        <f>SUM(D2:D35)</f>
        <v>10100</v>
      </c>
    </row>
    <row r="4" spans="1:15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v>Standard Price</v>
      </c>
      <c r="H4" s="7" t="str">
        <v>03</v>
      </c>
      <c r="I4" s="7" t="str">
        <v>US</v>
      </c>
      <c r="J4" s="7" t="str">
        <v>MAR</v>
      </c>
      <c r="K4" s="7"/>
      <c r="L4" s="11" t="s">
        <v>112</v>
      </c>
      <c r="N4">
        <f>COUNTA(B2:B35)</f>
        <v>34</v>
      </c>
    </row>
    <row r="5" spans="1:15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 t="str">
        <v>High Price</v>
      </c>
      <c r="H5" s="8" t="str">
        <v>11</v>
      </c>
      <c r="I5" s="8" t="str">
        <v>US</v>
      </c>
      <c r="J5" s="8" t="str">
        <v>APR</v>
      </c>
      <c r="K5" s="7"/>
      <c r="L5" s="11" t="s">
        <v>113</v>
      </c>
      <c r="N5">
        <f>AVERAGE(D2:D35)</f>
        <v>297.05882352941177</v>
      </c>
    </row>
    <row r="6" spans="1:15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v>Standard Price</v>
      </c>
      <c r="H6" s="7" t="str">
        <v>22</v>
      </c>
      <c r="I6" s="7" t="str">
        <v>US</v>
      </c>
      <c r="J6" s="7" t="str">
        <v>MAY</v>
      </c>
      <c r="K6" s="7"/>
    </row>
    <row r="7" spans="1:15" ht="15.75" customHeight="1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8" t="str">
        <v>Standard Price</v>
      </c>
      <c r="H7" s="8" t="str">
        <v>07</v>
      </c>
      <c r="I7" s="8" t="str">
        <v>UK</v>
      </c>
      <c r="J7" s="8" t="str">
        <v>JUN</v>
      </c>
      <c r="K7" s="7"/>
      <c r="L7" s="10" t="s">
        <v>114</v>
      </c>
      <c r="M7" s="12"/>
    </row>
    <row r="8" spans="1:15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v>Standard Price</v>
      </c>
      <c r="H8" s="7" t="str">
        <v>19</v>
      </c>
      <c r="I8" s="7" t="str">
        <v>UK</v>
      </c>
      <c r="J8" s="7" t="str">
        <v>JUL</v>
      </c>
      <c r="K8" s="7"/>
      <c r="L8" s="11" t="s">
        <v>115</v>
      </c>
      <c r="O8">
        <f>MIN(D2:D35)</f>
        <v>30</v>
      </c>
    </row>
    <row r="9" spans="1:15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8" t="str">
        <v>Standard Price</v>
      </c>
      <c r="H9" s="8" t="str">
        <v>23</v>
      </c>
      <c r="I9" s="8" t="str">
        <v>UK</v>
      </c>
      <c r="J9" s="8" t="str">
        <v>AUG</v>
      </c>
      <c r="K9" s="7"/>
      <c r="L9" s="11" t="s">
        <v>116</v>
      </c>
      <c r="O9">
        <f>MAX(D2:D35)</f>
        <v>1000</v>
      </c>
    </row>
    <row r="10" spans="1:15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v>High Price</v>
      </c>
      <c r="H10" s="7" t="str">
        <v>05</v>
      </c>
      <c r="I10" s="7" t="str">
        <v>UK</v>
      </c>
      <c r="J10" s="7" t="str">
        <v>SEP</v>
      </c>
      <c r="K10" s="7"/>
    </row>
    <row r="11" spans="1:15" ht="15.75" customHeight="1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8" t="str">
        <v>Standard Price</v>
      </c>
      <c r="H11" s="8" t="str">
        <v>14</v>
      </c>
      <c r="I11" s="8" t="str">
        <v>UK</v>
      </c>
      <c r="J11" s="8" t="str">
        <v>OCT</v>
      </c>
      <c r="K11" s="7"/>
      <c r="L11" s="10" t="s">
        <v>118</v>
      </c>
      <c r="M11" s="15"/>
    </row>
    <row r="12" spans="1:15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v>High Price</v>
      </c>
      <c r="H12" s="7" t="str">
        <v>17</v>
      </c>
      <c r="I12" s="7" t="str">
        <v>IN</v>
      </c>
      <c r="J12" s="7" t="str">
        <v>JUN</v>
      </c>
      <c r="K12" s="7"/>
      <c r="L12" s="11" t="s">
        <v>119</v>
      </c>
      <c r="N12" s="11"/>
      <c r="O12">
        <f>SUMIF(F2:F35,"Electronics",D2:D35)</f>
        <v>8050</v>
      </c>
    </row>
    <row r="13" spans="1:15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8" t="str">
        <v>Standard Price</v>
      </c>
      <c r="H13" s="8" t="str">
        <v>25</v>
      </c>
      <c r="I13" s="8" t="str">
        <v>AU</v>
      </c>
      <c r="J13" s="8" t="str">
        <v>NOV</v>
      </c>
      <c r="K13" s="7"/>
      <c r="L13" s="11" t="s">
        <v>120</v>
      </c>
      <c r="O13" s="11">
        <f>COUNTIF(D2:D35,"&lt;100")</f>
        <v>11</v>
      </c>
    </row>
    <row r="14" spans="1:15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v>Standard Price</v>
      </c>
      <c r="H14" s="7" t="str">
        <v>08</v>
      </c>
      <c r="I14" s="7" t="str">
        <v>DE</v>
      </c>
      <c r="J14" s="7" t="str">
        <v>DEC</v>
      </c>
      <c r="K14" s="7"/>
    </row>
    <row r="15" spans="1:15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8" t="str">
        <v>Standard Price</v>
      </c>
      <c r="H15" s="8" t="str">
        <v>18</v>
      </c>
      <c r="I15" s="8" t="str">
        <v>CA</v>
      </c>
      <c r="J15" s="8" t="str">
        <v>FEB</v>
      </c>
      <c r="K15" s="7"/>
    </row>
    <row r="16" spans="1:15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v>Standard Price</v>
      </c>
      <c r="H16" s="7" t="str">
        <v>16</v>
      </c>
      <c r="I16" s="7" t="str">
        <v>ES</v>
      </c>
      <c r="J16" s="7" t="str">
        <v>APR</v>
      </c>
      <c r="K16" s="7"/>
    </row>
    <row r="17" spans="1:11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8" t="str">
        <v>Standard Price</v>
      </c>
      <c r="H17" s="8" t="str">
        <v>21</v>
      </c>
      <c r="I17" s="8" t="str">
        <v>CA</v>
      </c>
      <c r="J17" s="8" t="str">
        <v>AUG</v>
      </c>
      <c r="K17" s="7"/>
    </row>
    <row r="18" spans="1:11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v>Standard Price</v>
      </c>
      <c r="H18" s="7" t="str">
        <v>20</v>
      </c>
      <c r="I18" s="7" t="str">
        <v>CN</v>
      </c>
      <c r="J18" s="7" t="str">
        <v>AUG</v>
      </c>
      <c r="K18" s="7"/>
    </row>
    <row r="19" spans="1:11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8" t="str">
        <v>High Price</v>
      </c>
      <c r="H19" s="8" t="str">
        <v>27</v>
      </c>
      <c r="I19" s="8" t="str">
        <v>IT</v>
      </c>
      <c r="J19" s="8" t="str">
        <v>JAN</v>
      </c>
      <c r="K19" s="7"/>
    </row>
    <row r="20" spans="1:11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v>Standard Price</v>
      </c>
      <c r="H20" s="7" t="str">
        <v>01</v>
      </c>
      <c r="I20" s="7" t="str">
        <v>UK</v>
      </c>
      <c r="J20" s="7" t="str">
        <v>MAR</v>
      </c>
      <c r="K20" s="7"/>
    </row>
    <row r="21" spans="1:11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8" t="str">
        <v>Standard Price</v>
      </c>
      <c r="H21" s="8" t="str">
        <v>14</v>
      </c>
      <c r="I21" s="8" t="str">
        <v>US</v>
      </c>
      <c r="J21" s="8" t="str">
        <v>AUG</v>
      </c>
      <c r="K21" s="7"/>
    </row>
    <row r="22" spans="1:11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v>High Price</v>
      </c>
      <c r="H22" s="7" t="str">
        <v>14</v>
      </c>
      <c r="I22" s="7" t="str">
        <v>RU</v>
      </c>
      <c r="J22" s="7" t="str">
        <v>MAY</v>
      </c>
      <c r="K22" s="7"/>
    </row>
    <row r="23" spans="1:11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8" t="str">
        <v>Standard Price</v>
      </c>
      <c r="H23" s="8" t="str">
        <v>09</v>
      </c>
      <c r="I23" s="8" t="str">
        <v>CA</v>
      </c>
      <c r="J23" s="8" t="str">
        <v>JAN</v>
      </c>
      <c r="K23" s="7"/>
    </row>
    <row r="24" spans="1:11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v>Standard Price</v>
      </c>
      <c r="H24" s="7" t="str">
        <v>19</v>
      </c>
      <c r="I24" s="7" t="str">
        <v>BR</v>
      </c>
      <c r="J24" s="7" t="str">
        <v>JUL</v>
      </c>
      <c r="K24" s="7"/>
    </row>
    <row r="25" spans="1:11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8" t="str">
        <v>Standard Price</v>
      </c>
      <c r="H25" s="8" t="str">
        <v>21</v>
      </c>
      <c r="I25" s="8" t="str">
        <v>CA</v>
      </c>
      <c r="J25" s="8" t="str">
        <v>AUG</v>
      </c>
      <c r="K25" s="9"/>
    </row>
    <row r="26" spans="1:11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v>High Price</v>
      </c>
      <c r="H26" s="7" t="str">
        <v>29</v>
      </c>
      <c r="I26" s="7" t="str">
        <v>CA</v>
      </c>
      <c r="J26" s="7" t="str">
        <v>SEP</v>
      </c>
      <c r="K26" s="7"/>
    </row>
    <row r="27" spans="1:11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8" t="str">
        <v>Standard Price</v>
      </c>
      <c r="H27" s="8" t="str">
        <v>03</v>
      </c>
      <c r="I27" s="8" t="str">
        <v>CA</v>
      </c>
      <c r="J27" s="8" t="str">
        <v>JUN</v>
      </c>
      <c r="K27" s="7"/>
    </row>
    <row r="28" spans="1:11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v>Standard Price</v>
      </c>
      <c r="H28" s="7" t="str">
        <v>11</v>
      </c>
      <c r="I28" s="7" t="str">
        <v>CA</v>
      </c>
      <c r="J28" s="7" t="str">
        <v>JUL</v>
      </c>
      <c r="K28" s="7"/>
    </row>
    <row r="29" spans="1:11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8" t="str">
        <v>Standard Price</v>
      </c>
      <c r="H29" s="8" t="str">
        <v>16</v>
      </c>
      <c r="I29" s="8" t="str">
        <v>ES</v>
      </c>
      <c r="J29" s="8" t="str">
        <v>APR</v>
      </c>
      <c r="K29" s="9"/>
    </row>
    <row r="30" spans="1:11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v>Standard Price</v>
      </c>
      <c r="H30" s="7" t="str">
        <v>07</v>
      </c>
      <c r="I30" s="7" t="str">
        <v>CA</v>
      </c>
      <c r="J30" s="7" t="str">
        <v>MAR</v>
      </c>
      <c r="K30" s="7"/>
    </row>
    <row r="31" spans="1:11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8" t="str">
        <v>Standard Price</v>
      </c>
      <c r="H31" s="8" t="str">
        <v>13</v>
      </c>
      <c r="I31" s="8" t="str">
        <v>CA</v>
      </c>
      <c r="J31" s="8" t="str">
        <v>APR</v>
      </c>
      <c r="K31" s="7"/>
    </row>
    <row r="32" spans="1:11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v>Standard Price</v>
      </c>
      <c r="H32" s="7" t="str">
        <v>24</v>
      </c>
      <c r="I32" s="7" t="str">
        <v>CA</v>
      </c>
      <c r="J32" s="7" t="str">
        <v>MAY</v>
      </c>
      <c r="K32" s="7"/>
    </row>
    <row r="33" spans="1:11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8" t="str">
        <v>Standard Price</v>
      </c>
      <c r="H33" s="8" t="str">
        <v>02</v>
      </c>
      <c r="I33" s="8" t="str">
        <v>CA</v>
      </c>
      <c r="J33" s="8" t="str">
        <v>DEC</v>
      </c>
      <c r="K33" s="7"/>
    </row>
    <row r="34" spans="1:11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v>High Price</v>
      </c>
      <c r="H34" s="7" t="str">
        <v>17</v>
      </c>
      <c r="I34" s="7" t="str">
        <v>IN</v>
      </c>
      <c r="J34" s="7" t="str">
        <v>JUN</v>
      </c>
      <c r="K34" s="7"/>
    </row>
    <row r="35" spans="1:11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8" t="str">
        <v>Standard Price</v>
      </c>
      <c r="H35" s="8" t="str">
        <v>09</v>
      </c>
      <c r="I35" s="8" t="str">
        <v>FR</v>
      </c>
      <c r="J35" s="8" t="str">
        <v>JUL</v>
      </c>
      <c r="K35" s="7"/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2026-09-26T11:54:04Z</dcterms:modified>
</cp:coreProperties>
</file>